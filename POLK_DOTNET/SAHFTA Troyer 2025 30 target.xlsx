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1"/>
  </bookViews>
  <sheets>
    <sheet name="Info" sheetId="3" r:id="rId1"/>
    <sheet name="Troyer She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Trevor Hall</author>
  </authors>
  <commentList>
    <comment ref="M51" authorId="0">
      <text>
        <r>
          <rPr>
            <b/>
            <sz val="9"/>
            <rFont val="Tahoma"/>
            <charset val="134"/>
          </rPr>
          <t>Trevor Hall:</t>
        </r>
        <r>
          <rPr>
            <sz val="9"/>
            <rFont val="Tahoma"/>
            <charset val="134"/>
          </rPr>
          <t xml:space="preserve">
The average shoot difficulty rating could be used for gauging beginners versus normal club versus league level shoots</t>
        </r>
      </text>
    </comment>
  </commentList>
</comments>
</file>

<file path=xl/sharedStrings.xml><?xml version="1.0" encoding="utf-8"?>
<sst xmlns="http://schemas.openxmlformats.org/spreadsheetml/2006/main" count="52" uniqueCount="51">
  <si>
    <t>Troyer 30 target incl. supported standing/kneeling</t>
  </si>
  <si>
    <t>Lane</t>
  </si>
  <si>
    <t>Target</t>
  </si>
  <si>
    <t>Un/Stand</t>
  </si>
  <si>
    <t>Un/Kneel</t>
  </si>
  <si>
    <t>Sup/Stand</t>
  </si>
  <si>
    <t>Sup/Kneel</t>
  </si>
  <si>
    <t>Incline/Decline</t>
  </si>
  <si>
    <t>Shade</t>
  </si>
  <si>
    <t>Kill zone</t>
  </si>
  <si>
    <t>Dist</t>
  </si>
  <si>
    <t>Diff. Factor</t>
  </si>
  <si>
    <t>Diff.</t>
  </si>
  <si>
    <t>Diff</t>
  </si>
  <si>
    <t>No</t>
  </si>
  <si>
    <t>Distance</t>
  </si>
  <si>
    <t>Unsupported check</t>
  </si>
  <si>
    <t>Supported Check</t>
  </si>
  <si>
    <t>Result</t>
  </si>
  <si>
    <t>Stand</t>
  </si>
  <si>
    <t>Kneel</t>
  </si>
  <si>
    <t>35mm-40mm</t>
  </si>
  <si>
    <t>30mm-34mm</t>
  </si>
  <si>
    <t>25mm-29mm</t>
  </si>
  <si>
    <t>20mm-24mm</t>
  </si>
  <si>
    <t>15mm-19mm</t>
  </si>
  <si>
    <t>Check</t>
  </si>
  <si>
    <t>Suggested min small killzone sizes</t>
  </si>
  <si>
    <t>Exp</t>
  </si>
  <si>
    <t>25mm</t>
  </si>
  <si>
    <t>Mod</t>
  </si>
  <si>
    <t>15mm</t>
  </si>
  <si>
    <t>Easy</t>
  </si>
  <si>
    <t>Ave Dist</t>
  </si>
  <si>
    <t>Rules</t>
  </si>
  <si>
    <t>4 supported/unsupported standing</t>
  </si>
  <si>
    <t>Overall ShootTarget Rating</t>
  </si>
  <si>
    <t>4 supported/unsupported kneel</t>
  </si>
  <si>
    <t>Easy= &lt; 25</t>
  </si>
  <si>
    <t xml:space="preserve">6 - 8 x 25mm targets (suggested), </t>
  </si>
  <si>
    <t>Moderate= 25-29</t>
  </si>
  <si>
    <t>4 - 6 x 15mm hit zone targets (suggested)</t>
  </si>
  <si>
    <t>Hard= 30-39</t>
  </si>
  <si>
    <t>Expert=&gt;40</t>
  </si>
  <si>
    <t>Killzone</t>
  </si>
  <si>
    <t>From mm</t>
  </si>
  <si>
    <t>To mm</t>
  </si>
  <si>
    <t>MIN (m)</t>
  </si>
  <si>
    <t>MAX (m)</t>
  </si>
  <si>
    <t>Unsupported</t>
  </si>
  <si>
    <t>Supported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</si>
</sst>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2">
    <font>
      <sz val="10"/>
      <name val="Arial"/>
      <charset val="134"/>
    </font>
    <font>
      <sz val="16"/>
      <name val="Arial"/>
      <charset val="134"/>
    </font>
    <font>
      <i/>
      <sz val="16"/>
      <name val="Arial"/>
      <charset val="134"/>
    </font>
    <font>
      <sz val="16"/>
      <name val="Arial Narrow"/>
      <charset val="134"/>
    </font>
    <font>
      <sz val="12"/>
      <name val="Arial"/>
      <charset val="134"/>
    </font>
    <font>
      <b/>
      <u/>
      <sz val="16"/>
      <color rgb="FFFF0000"/>
      <name val="Arial"/>
      <charset val="134"/>
    </font>
    <font>
      <sz val="16"/>
      <color theme="1"/>
      <name val="Arial"/>
      <charset val="134"/>
    </font>
    <font>
      <sz val="16"/>
      <color indexed="8"/>
      <name val="Arial"/>
      <charset val="134"/>
    </font>
    <font>
      <b/>
      <u/>
      <sz val="10"/>
      <color rgb="FFFF0000"/>
      <name val="Calibri"/>
      <charset val="134"/>
      <scheme val="minor"/>
    </font>
    <font>
      <b/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double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auto="1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medium">
        <color indexed="22"/>
      </top>
      <bottom style="double">
        <color indexed="8"/>
      </bottom>
      <diagonal/>
    </border>
    <border>
      <left style="medium">
        <color indexed="22"/>
      </left>
      <right style="double">
        <color indexed="8"/>
      </right>
      <top style="medium">
        <color indexed="22"/>
      </top>
      <bottom style="double">
        <color indexed="8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rgb="FF000000"/>
      </left>
      <right style="double">
        <color rgb="FF000000"/>
      </right>
      <top style="double">
        <color auto="1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medium">
        <color rgb="FFCCCCCC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8"/>
      </left>
      <right/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double">
        <color indexed="8"/>
      </left>
      <right style="double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double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/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rgb="FF000000"/>
      </left>
      <right style="double">
        <color rgb="FF000000"/>
      </right>
      <top style="double">
        <color indexed="8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8"/>
      </left>
      <right style="double">
        <color rgb="FF000000"/>
      </right>
      <top style="hair">
        <color indexed="8"/>
      </top>
      <bottom style="double">
        <color indexed="8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3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35" applyNumberFormat="0" applyAlignment="0" applyProtection="0">
      <alignment vertical="center"/>
    </xf>
    <xf numFmtId="0" fontId="20" fillId="4" borderId="36" applyNumberFormat="0" applyAlignment="0" applyProtection="0">
      <alignment vertical="center"/>
    </xf>
    <xf numFmtId="0" fontId="21" fillId="4" borderId="35" applyNumberFormat="0" applyAlignment="0" applyProtection="0">
      <alignment vertical="center"/>
    </xf>
    <xf numFmtId="0" fontId="22" fillId="5" borderId="37" applyNumberFormat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73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9" xfId="0" applyFont="1" applyBorder="1" applyAlignment="1">
      <alignment horizontal="right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12" xfId="0" applyFont="1" applyBorder="1" applyProtection="1">
      <protection locked="0"/>
    </xf>
    <xf numFmtId="0" fontId="4" fillId="0" borderId="12" xfId="0" applyFont="1" applyBorder="1"/>
    <xf numFmtId="0" fontId="1" fillId="0" borderId="0" xfId="0" applyFon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center" vertical="center" wrapText="1"/>
    </xf>
    <xf numFmtId="0" fontId="1" fillId="0" borderId="12" xfId="0" applyFont="1" applyBorder="1" applyProtection="1">
      <protection locked="0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6" fillId="0" borderId="0" xfId="0" applyFont="1" applyAlignment="1" applyProtection="1">
      <alignment vertical="center"/>
      <protection locked="0"/>
    </xf>
    <xf numFmtId="0" fontId="1" fillId="0" borderId="15" xfId="0" applyFont="1" applyBorder="1" applyProtection="1"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3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1" fillId="0" borderId="4" xfId="0" applyNumberFormat="1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>
      <alignment horizontal="center" vertical="center"/>
    </xf>
    <xf numFmtId="178" fontId="1" fillId="0" borderId="20" xfId="0" applyNumberFormat="1" applyFont="1" applyBorder="1" applyAlignment="1">
      <alignment horizontal="center" vertical="center"/>
    </xf>
    <xf numFmtId="178" fontId="1" fillId="0" borderId="2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" fontId="1" fillId="0" borderId="6" xfId="0" applyNumberFormat="1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>
      <alignment horizontal="center" vertical="center"/>
    </xf>
    <xf numFmtId="178" fontId="1" fillId="0" borderId="23" xfId="0" applyNumberFormat="1" applyFont="1" applyBorder="1" applyAlignment="1">
      <alignment horizontal="center" vertical="center"/>
    </xf>
    <xf numFmtId="178" fontId="1" fillId="0" borderId="24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1" fontId="1" fillId="0" borderId="8" xfId="0" applyNumberFormat="1" applyFont="1" applyBorder="1" applyAlignment="1" applyProtection="1">
      <alignment horizontal="center" vertical="center"/>
      <protection locked="0"/>
    </xf>
    <xf numFmtId="0" fontId="1" fillId="0" borderId="25" xfId="0" applyFont="1" applyBorder="1" applyAlignment="1">
      <alignment horizontal="center" vertical="center"/>
    </xf>
    <xf numFmtId="178" fontId="1" fillId="0" borderId="26" xfId="0" applyNumberFormat="1" applyFont="1" applyBorder="1" applyAlignment="1">
      <alignment horizontal="center" vertical="center"/>
    </xf>
    <xf numFmtId="178" fontId="1" fillId="0" borderId="27" xfId="0" applyNumberFormat="1" applyFont="1" applyBorder="1" applyAlignment="1">
      <alignment horizontal="center" vertical="center"/>
    </xf>
    <xf numFmtId="178" fontId="1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1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2" xfId="0" applyFont="1" applyBorder="1"/>
    <xf numFmtId="0" fontId="8" fillId="0" borderId="0" xfId="0" applyFont="1" applyProtection="1"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8" xfId="0" applyFont="1" applyBorder="1" applyAlignment="1">
      <alignment horizontal="center" vertical="center" wrapText="1"/>
    </xf>
    <xf numFmtId="0" fontId="0" fillId="0" borderId="0" xfId="0" applyProtection="1">
      <protection locked="0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428625</xdr:colOff>
      <xdr:row>4</xdr:row>
      <xdr:rowOff>95250</xdr:rowOff>
    </xdr:from>
    <xdr:ext cx="184731" cy="264560"/>
    <xdr:sp>
      <xdr:nvSpPr>
        <xdr:cNvPr id="2" name="TextBox 1"/>
        <xdr:cNvSpPr txBox="1"/>
      </xdr:nvSpPr>
      <xdr:spPr>
        <a:xfrm>
          <a:off x="2228850" y="74295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ZA"/>
        </a:p>
      </xdr:txBody>
    </xdr:sp>
    <xdr:clientData/>
  </xdr:oneCellAnchor>
  <xdr:twoCellAnchor>
    <xdr:from>
      <xdr:col>0</xdr:col>
      <xdr:colOff>69850</xdr:colOff>
      <xdr:row>0</xdr:row>
      <xdr:rowOff>130174</xdr:rowOff>
    </xdr:from>
    <xdr:to>
      <xdr:col>8</xdr:col>
      <xdr:colOff>15876</xdr:colOff>
      <xdr:row>34</xdr:row>
      <xdr:rowOff>47624</xdr:rowOff>
    </xdr:to>
    <xdr:sp>
      <xdr:nvSpPr>
        <xdr:cNvPr id="3" name="TextBox 2"/>
        <xdr:cNvSpPr txBox="1"/>
      </xdr:nvSpPr>
      <xdr:spPr>
        <a:xfrm>
          <a:off x="69850" y="129540"/>
          <a:ext cx="4746625" cy="542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ZA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 panose="020F0502020204030204"/>
            </a:rPr>
            <a:t>Hierdie is bedoel as 'n hulpmiddel en riglyn aan opstellers van FT bane om die moeilikheidsgraad van die baan te bepaal.</a:t>
          </a: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ZA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 panose="020F0502020204030204"/>
            </a:rPr>
            <a:t>Die oogmerk is om bane van vergelykbare moeilikheidsgraad op te stel vir liga kompetisies, sonder om die unieke aard van elke baan aan bande te lê.</a:t>
          </a: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ZA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 panose="020F0502020204030204"/>
            </a:rPr>
            <a:t>Hou asseblief in gedagte dat dit slegs 'n hulpmiddel is om 'm goeie baan te bou.</a:t>
          </a: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l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ZA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 panose="020F0502020204030204"/>
            </a:rPr>
            <a:t>Die beginsel is om die afstand van die skoot te deel deur die grootte van die "kill-zone" - 'n gedagte wat die eerste keer voorgestel was deur Brad Troyer van Amerika - en dan aanpassings te maak vir faktore wat die moeilikheidsgraad affekteer. Die waardes vir die faktore is aangepas van die vorige weergawe om 'n meer realistiese beeld te gee.</a:t>
          </a: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ZA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 panose="020F0502020204030204"/>
            </a:rPr>
            <a:t> Wind is verwyder. Alhoewel wind 'n beduidende invloed op 'n skoot het kon ek geen werkbare manier vind om dit in te sluit nie.</a:t>
          </a: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ZA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 panose="020F0502020204030204"/>
            </a:rPr>
            <a:t>Staan en kniel is selfverduidelikend,  op- en afdraende is vir waar daar beduidende hoeke is . Lig/Donker is soortgelyk bedoel vir waar daar 'n groot verskil is tussen waar die teiken is en waar die skut is.</a:t>
          </a: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ZA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 panose="020F0502020204030204"/>
            </a:rPr>
            <a:t>Die spreadsheet sal aandui as enige teiken buite die reëls is.</a:t>
          </a: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ZA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 panose="020F0502020204030204"/>
            </a:rPr>
            <a:t>Vir Liga's probeer 10 - 12 "Exp", 10 -15 "Easy" &amp; die res "Mod"</a:t>
          </a: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 panose="020F0502020204030204"/>
          </a:endParaRP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en-ZA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Calibri" panose="020F0502020204030204"/>
            </a:rPr>
            <a:t>Ten laaste, enige idees hoe ons die stelsel kan verbeter sal waardeer word.</a:t>
          </a:r>
          <a:endParaRPr kumimoji="0" lang="en-ZA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>
            <a:lnSpc>
              <a:spcPts val="1400"/>
            </a:lnSpc>
          </a:pPr>
          <a:endParaRPr lang="en-ZA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8" workbookViewId="0">
      <selection activeCell="E46" sqref="E46"/>
    </sheetView>
  </sheetViews>
  <sheetFormatPr defaultColWidth="9" defaultRowHeight="12.75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U71"/>
  <sheetViews>
    <sheetView tabSelected="1" zoomScale="70" zoomScaleNormal="70" workbookViewId="0">
      <selection activeCell="F28" sqref="F28"/>
    </sheetView>
  </sheetViews>
  <sheetFormatPr defaultColWidth="9" defaultRowHeight="20.25"/>
  <cols>
    <col min="1" max="1" width="9.14285714285714" style="1"/>
    <col min="2" max="2" width="8.28571428571429" style="1" customWidth="1"/>
    <col min="3" max="3" width="10.1428571428571" style="1" customWidth="1"/>
    <col min="4" max="4" width="15.7142857142857" style="1" customWidth="1"/>
    <col min="5" max="5" width="13.4285714285714" style="1" customWidth="1"/>
    <col min="6" max="6" width="13.7142857142857" style="1" customWidth="1"/>
    <col min="7" max="7" width="13.8571428571429" style="1" customWidth="1"/>
    <col min="8" max="8" width="19.5714285714286" style="1" customWidth="1"/>
    <col min="9" max="9" width="8.71428571428571" style="1" customWidth="1"/>
    <col min="10" max="10" width="12.4285714285714" style="2" customWidth="1"/>
    <col min="11" max="11" width="12.7142857142857" style="1" customWidth="1"/>
    <col min="12" max="12" width="16.5714285714286" style="1" customWidth="1"/>
    <col min="13" max="15" width="11.5714285714286" style="1" customWidth="1"/>
    <col min="16" max="16" width="14.2857142857143" style="3" customWidth="1"/>
    <col min="17" max="18" width="29.1428571428571" style="3" customWidth="1"/>
    <col min="19" max="19" width="10.1428571428571" style="3" customWidth="1"/>
    <col min="20" max="20" width="13.4285714285714" style="1" customWidth="1"/>
    <col min="21" max="16384" width="9.14285714285714" style="1"/>
  </cols>
  <sheetData>
    <row r="2" ht="21" spans="2:2">
      <c r="B2" s="1" t="s">
        <v>0</v>
      </c>
    </row>
    <row r="3" ht="21.75" spans="2:19"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5" t="s">
        <v>9</v>
      </c>
      <c r="K3" s="5" t="s">
        <v>10</v>
      </c>
      <c r="L3" s="36" t="s">
        <v>11</v>
      </c>
      <c r="M3" s="37" t="s">
        <v>12</v>
      </c>
      <c r="N3" s="38" t="s">
        <v>13</v>
      </c>
      <c r="O3" s="39" t="s">
        <v>14</v>
      </c>
      <c r="P3" s="39" t="s">
        <v>15</v>
      </c>
      <c r="Q3" s="39" t="s">
        <v>16</v>
      </c>
      <c r="R3" s="65" t="s">
        <v>17</v>
      </c>
      <c r="S3" s="66" t="s">
        <v>18</v>
      </c>
    </row>
    <row r="4" ht="21" spans="2:21">
      <c r="B4" s="7">
        <v>1</v>
      </c>
      <c r="C4" s="8">
        <v>1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40">
        <v>0</v>
      </c>
      <c r="K4" s="9">
        <v>0</v>
      </c>
      <c r="L4" s="41">
        <f>1+(IF(D4&gt;0,0.89,0))+(IF(E4&gt;0,0.62,0))+(IF(F4&gt;0,0.435,0))+(IF(G4&gt;0,0.325,0))+(IF(H4&gt;0,0.1,0))+(IF(I4&gt;0,0.1,0))</f>
        <v>1</v>
      </c>
      <c r="M4" s="42" t="str">
        <f>IF(N4&gt;30,"Exp",IF(N4&gt;25,"Mod",IF(N4&gt;0,"Easy")))</f>
        <v>Exp</v>
      </c>
      <c r="N4" s="43" t="str">
        <f>IF(J4=0," ",IF(K4&lt;=15,0.05*POWER(((K4*1.0936)*(1/(J4*0.03937))*L4)-((15*1.0936)*(1/(J4*0.03937))*L4),2)+((15*1.0936)*0.1*(1/(J4*0.03937))*L4)+((22*1.0936)*(1/(J4*0.03937))*L4)-((22*1.0936)*0.1*(1/(J4*0.03937))*L4),IF(K4&lt;=22,((15*1.0936)*0.1*(1/(J4*0.03937))*L4)+((22*1.0936)*(1/(J4*0.03937))*L4)-((22*1.0936)*0.1*(1/(J4*0.03937))*L4),((K4*1.0936)*(1/(J4*0.03937))*L4))))</f>
        <v> </v>
      </c>
      <c r="O4" s="43">
        <f>IF(SUM(D4:G4)&gt;1,1,0)</f>
        <v>0</v>
      </c>
      <c r="P4" s="44" t="e">
        <f t="shared" ref="P4:P33" si="0">IF((K4&gt;=VLOOKUP(J4,$B$61:$E$64,3,TRUE))*(K4&lt;=VLOOKUP(J4,$B$61:$E$64,4,TRUE)),0,1)</f>
        <v>#N/A</v>
      </c>
      <c r="Q4" s="44">
        <f>IF(SUM(D4:E4)&gt;0,IF((K4&gt;=VLOOKUP(J4,$B$67:$E$67,3,TRUE))*(K4&lt;=VLOOKUP(J4,$B$67:$E$67,4,TRUE)),0,1),0)</f>
        <v>0</v>
      </c>
      <c r="R4" s="44">
        <f>IF(SUM(F4:G4)&gt;0,IF((K4&gt;=VLOOKUP(J4,$B$71:$E$71,3,TRUE))*(K4&lt;=VLOOKUP(J4,$B$71:$E$71,4,TRUE)),0,1),0)</f>
        <v>0</v>
      </c>
      <c r="S4" s="67" t="e">
        <f>IF(SUM(O4:R4)=0,"OK","Error")</f>
        <v>#N/A</v>
      </c>
      <c r="U4" s="68"/>
    </row>
    <row r="5" spans="2:19">
      <c r="B5" s="10"/>
      <c r="C5" s="11">
        <v>2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45">
        <v>0</v>
      </c>
      <c r="K5" s="12">
        <v>0</v>
      </c>
      <c r="L5" s="46">
        <f t="shared" ref="L5:L31" si="1">1+(IF(D5&gt;0,0.89,0))+(IF(E5&gt;0,0.62,0))+(IF(F5&gt;0,0.435,0))+(IF(G5&gt;0,0.325,0))+(IF(H5&gt;0,0.1,0))+(IF(I5&gt;0,0.1,0))</f>
        <v>1</v>
      </c>
      <c r="M5" s="47" t="str">
        <f t="shared" ref="M5:M31" si="2">IF(N5&gt;30,"Exp",IF(N5&gt;25,"Mod",IF(N5&gt;0,"Easy")))</f>
        <v>Exp</v>
      </c>
      <c r="N5" s="48" t="str">
        <f t="shared" ref="N5:N31" si="3">IF(J5=0," ",IF(K5&lt;=15,0.05*POWER(((K5*1.0936)*(1/(J5*0.03937))*L5)-((15*1.0936)*(1/(J5*0.03937))*L5),2)+((15*1.0936)*0.1*(1/(J5*0.03937))*L5)+((22*1.0936)*(1/(J5*0.03937))*L5)-((22*1.0936)*0.1*(1/(J5*0.03937))*L5),IF(K5&lt;=22,((15*1.0936)*0.1*(1/(J5*0.03937))*L5)+((22*1.0936)*(1/(J5*0.03937))*L5)-((22*1.0936)*0.1*(1/(J5*0.03937))*L5),((K5*1.0936)*(1/(J5*0.03937))*L5))))</f>
        <v> </v>
      </c>
      <c r="O5" s="43">
        <f>IF(SUM(D5:G5)&gt;1,1,0)</f>
        <v>0</v>
      </c>
      <c r="P5" s="49" t="e">
        <f t="shared" si="0"/>
        <v>#N/A</v>
      </c>
      <c r="Q5" s="44">
        <f t="shared" ref="Q5:Q33" si="4">IF(SUM(D5:E5)&gt;0,IF((K5&gt;=VLOOKUP(J5,$B$67:$E$67,3,TRUE))*(K5&lt;=VLOOKUP(J5,$B$67:$E$67,4,TRUE)),0,1),0)</f>
        <v>0</v>
      </c>
      <c r="R5" s="44">
        <f t="shared" ref="R5:R33" si="5">IF(SUM(F5:G5)&gt;0,IF((K5&gt;=VLOOKUP(J5,$B$71:$E$71,3,TRUE))*(K5&lt;=VLOOKUP(J5,$B$71:$E$71,4,TRUE)),0,1),0)</f>
        <v>0</v>
      </c>
      <c r="S5" s="69" t="e">
        <f>IF(SUM(O5:R5)=0,"OK","Error")</f>
        <v>#N/A</v>
      </c>
    </row>
    <row r="6" spans="2:19">
      <c r="B6" s="10">
        <f>+B4+1</f>
        <v>2</v>
      </c>
      <c r="C6" s="11">
        <v>3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45">
        <v>0</v>
      </c>
      <c r="K6" s="12">
        <v>0</v>
      </c>
      <c r="L6" s="46">
        <f t="shared" si="1"/>
        <v>1</v>
      </c>
      <c r="M6" s="47" t="str">
        <f t="shared" si="2"/>
        <v>Exp</v>
      </c>
      <c r="N6" s="48" t="str">
        <f t="shared" si="3"/>
        <v> </v>
      </c>
      <c r="O6" s="43">
        <f t="shared" ref="O6:O33" si="6">IF(SUM(D6:G6)&gt;1,1,0)</f>
        <v>0</v>
      </c>
      <c r="P6" s="49" t="e">
        <f t="shared" si="0"/>
        <v>#N/A</v>
      </c>
      <c r="Q6" s="44">
        <f t="shared" si="4"/>
        <v>0</v>
      </c>
      <c r="R6" s="44">
        <f t="shared" si="5"/>
        <v>0</v>
      </c>
      <c r="S6" s="69" t="e">
        <f t="shared" ref="S6:S33" si="7">IF(SUM(O6:R6)=0,"OK","Error")</f>
        <v>#N/A</v>
      </c>
    </row>
    <row r="7" spans="2:19">
      <c r="B7" s="10"/>
      <c r="C7" s="11">
        <v>4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45">
        <v>0</v>
      </c>
      <c r="K7" s="12">
        <v>0</v>
      </c>
      <c r="L7" s="46">
        <f t="shared" si="1"/>
        <v>1</v>
      </c>
      <c r="M7" s="47" t="str">
        <f t="shared" si="2"/>
        <v>Exp</v>
      </c>
      <c r="N7" s="48" t="str">
        <f t="shared" si="3"/>
        <v> </v>
      </c>
      <c r="O7" s="43">
        <f t="shared" si="6"/>
        <v>0</v>
      </c>
      <c r="P7" s="49" t="e">
        <f t="shared" si="0"/>
        <v>#N/A</v>
      </c>
      <c r="Q7" s="44">
        <f t="shared" si="4"/>
        <v>0</v>
      </c>
      <c r="R7" s="44">
        <f t="shared" si="5"/>
        <v>0</v>
      </c>
      <c r="S7" s="69" t="e">
        <f t="shared" si="7"/>
        <v>#N/A</v>
      </c>
    </row>
    <row r="8" spans="2:19">
      <c r="B8" s="10">
        <v>3</v>
      </c>
      <c r="C8" s="11">
        <v>5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45">
        <v>0</v>
      </c>
      <c r="K8" s="12">
        <v>0</v>
      </c>
      <c r="L8" s="46">
        <f t="shared" si="1"/>
        <v>1</v>
      </c>
      <c r="M8" s="47" t="str">
        <f t="shared" si="2"/>
        <v>Exp</v>
      </c>
      <c r="N8" s="48" t="str">
        <f t="shared" si="3"/>
        <v> </v>
      </c>
      <c r="O8" s="43">
        <f t="shared" si="6"/>
        <v>0</v>
      </c>
      <c r="P8" s="49" t="e">
        <f t="shared" si="0"/>
        <v>#N/A</v>
      </c>
      <c r="Q8" s="44">
        <f t="shared" si="4"/>
        <v>0</v>
      </c>
      <c r="R8" s="44">
        <f t="shared" si="5"/>
        <v>0</v>
      </c>
      <c r="S8" s="69" t="e">
        <f t="shared" si="7"/>
        <v>#N/A</v>
      </c>
    </row>
    <row r="9" spans="2:19">
      <c r="B9" s="10"/>
      <c r="C9" s="11">
        <v>6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45">
        <v>0</v>
      </c>
      <c r="K9" s="12">
        <v>0</v>
      </c>
      <c r="L9" s="46">
        <f t="shared" si="1"/>
        <v>1</v>
      </c>
      <c r="M9" s="47" t="str">
        <f t="shared" si="2"/>
        <v>Exp</v>
      </c>
      <c r="N9" s="48" t="str">
        <f t="shared" si="3"/>
        <v> </v>
      </c>
      <c r="O9" s="43">
        <f t="shared" si="6"/>
        <v>0</v>
      </c>
      <c r="P9" s="49" t="e">
        <f t="shared" si="0"/>
        <v>#N/A</v>
      </c>
      <c r="Q9" s="44">
        <f t="shared" si="4"/>
        <v>0</v>
      </c>
      <c r="R9" s="44">
        <f t="shared" si="5"/>
        <v>0</v>
      </c>
      <c r="S9" s="69" t="e">
        <f t="shared" si="7"/>
        <v>#N/A</v>
      </c>
    </row>
    <row r="10" spans="2:19">
      <c r="B10" s="10">
        <v>4</v>
      </c>
      <c r="C10" s="11">
        <v>7</v>
      </c>
      <c r="D10" s="12">
        <v>0</v>
      </c>
      <c r="E10" s="12">
        <v>0</v>
      </c>
      <c r="F10" s="13">
        <v>0</v>
      </c>
      <c r="G10" s="12">
        <v>0</v>
      </c>
      <c r="H10" s="12">
        <v>0</v>
      </c>
      <c r="I10" s="12">
        <v>0</v>
      </c>
      <c r="J10" s="45">
        <v>0</v>
      </c>
      <c r="K10" s="12">
        <v>0</v>
      </c>
      <c r="L10" s="46">
        <f t="shared" si="1"/>
        <v>1</v>
      </c>
      <c r="M10" s="47" t="str">
        <f t="shared" si="2"/>
        <v>Exp</v>
      </c>
      <c r="N10" s="48" t="str">
        <f t="shared" si="3"/>
        <v> </v>
      </c>
      <c r="O10" s="43">
        <f t="shared" si="6"/>
        <v>0</v>
      </c>
      <c r="P10" s="49" t="e">
        <f t="shared" si="0"/>
        <v>#N/A</v>
      </c>
      <c r="Q10" s="44">
        <f t="shared" si="4"/>
        <v>0</v>
      </c>
      <c r="R10" s="44">
        <f t="shared" si="5"/>
        <v>0</v>
      </c>
      <c r="S10" s="69" t="e">
        <f t="shared" si="7"/>
        <v>#N/A</v>
      </c>
    </row>
    <row r="11" spans="2:19">
      <c r="B11" s="10"/>
      <c r="C11" s="11">
        <v>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45">
        <v>0</v>
      </c>
      <c r="K11" s="12">
        <v>0</v>
      </c>
      <c r="L11" s="46">
        <f t="shared" si="1"/>
        <v>1</v>
      </c>
      <c r="M11" s="47" t="str">
        <f t="shared" si="2"/>
        <v>Exp</v>
      </c>
      <c r="N11" s="48" t="str">
        <f t="shared" si="3"/>
        <v> </v>
      </c>
      <c r="O11" s="43">
        <f t="shared" si="6"/>
        <v>0</v>
      </c>
      <c r="P11" s="49" t="e">
        <f t="shared" si="0"/>
        <v>#N/A</v>
      </c>
      <c r="Q11" s="44">
        <f t="shared" si="4"/>
        <v>0</v>
      </c>
      <c r="R11" s="44">
        <f t="shared" si="5"/>
        <v>0</v>
      </c>
      <c r="S11" s="69" t="e">
        <f t="shared" si="7"/>
        <v>#N/A</v>
      </c>
    </row>
    <row r="12" spans="2:19">
      <c r="B12" s="10">
        <v>5</v>
      </c>
      <c r="C12" s="11">
        <v>9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45">
        <v>0</v>
      </c>
      <c r="K12" s="12">
        <v>0</v>
      </c>
      <c r="L12" s="46">
        <f t="shared" si="1"/>
        <v>1</v>
      </c>
      <c r="M12" s="47" t="str">
        <f t="shared" si="2"/>
        <v>Exp</v>
      </c>
      <c r="N12" s="48" t="str">
        <f t="shared" si="3"/>
        <v> </v>
      </c>
      <c r="O12" s="43">
        <f t="shared" si="6"/>
        <v>0</v>
      </c>
      <c r="P12" s="49" t="e">
        <f t="shared" si="0"/>
        <v>#N/A</v>
      </c>
      <c r="Q12" s="44">
        <f t="shared" si="4"/>
        <v>0</v>
      </c>
      <c r="R12" s="44">
        <f t="shared" si="5"/>
        <v>0</v>
      </c>
      <c r="S12" s="69" t="e">
        <f t="shared" si="7"/>
        <v>#N/A</v>
      </c>
    </row>
    <row r="13" spans="2:19">
      <c r="B13" s="10"/>
      <c r="C13" s="11">
        <v>10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45">
        <v>0</v>
      </c>
      <c r="K13" s="12">
        <v>0</v>
      </c>
      <c r="L13" s="46">
        <f t="shared" si="1"/>
        <v>1</v>
      </c>
      <c r="M13" s="47" t="str">
        <f t="shared" si="2"/>
        <v>Exp</v>
      </c>
      <c r="N13" s="48" t="str">
        <f t="shared" si="3"/>
        <v> </v>
      </c>
      <c r="O13" s="43">
        <f t="shared" si="6"/>
        <v>0</v>
      </c>
      <c r="P13" s="49" t="e">
        <f t="shared" si="0"/>
        <v>#N/A</v>
      </c>
      <c r="Q13" s="44">
        <f t="shared" si="4"/>
        <v>0</v>
      </c>
      <c r="R13" s="44">
        <f t="shared" si="5"/>
        <v>0</v>
      </c>
      <c r="S13" s="69" t="e">
        <f t="shared" si="7"/>
        <v>#N/A</v>
      </c>
    </row>
    <row r="14" spans="2:19">
      <c r="B14" s="10">
        <v>6</v>
      </c>
      <c r="C14" s="11">
        <v>11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45">
        <v>0</v>
      </c>
      <c r="K14" s="12">
        <v>0</v>
      </c>
      <c r="L14" s="46">
        <f t="shared" si="1"/>
        <v>1</v>
      </c>
      <c r="M14" s="47" t="str">
        <f t="shared" si="2"/>
        <v>Exp</v>
      </c>
      <c r="N14" s="48" t="str">
        <f t="shared" si="3"/>
        <v> </v>
      </c>
      <c r="O14" s="43">
        <f t="shared" si="6"/>
        <v>0</v>
      </c>
      <c r="P14" s="49" t="e">
        <f t="shared" si="0"/>
        <v>#N/A</v>
      </c>
      <c r="Q14" s="44">
        <f t="shared" si="4"/>
        <v>0</v>
      </c>
      <c r="R14" s="44">
        <f t="shared" si="5"/>
        <v>0</v>
      </c>
      <c r="S14" s="69" t="e">
        <f t="shared" si="7"/>
        <v>#N/A</v>
      </c>
    </row>
    <row r="15" spans="2:19">
      <c r="B15" s="10"/>
      <c r="C15" s="11">
        <v>12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45">
        <v>0</v>
      </c>
      <c r="K15" s="12">
        <v>0</v>
      </c>
      <c r="L15" s="46">
        <f t="shared" si="1"/>
        <v>1</v>
      </c>
      <c r="M15" s="47" t="str">
        <f t="shared" si="2"/>
        <v>Exp</v>
      </c>
      <c r="N15" s="48" t="str">
        <f t="shared" si="3"/>
        <v> </v>
      </c>
      <c r="O15" s="43">
        <f t="shared" si="6"/>
        <v>0</v>
      </c>
      <c r="P15" s="49" t="e">
        <f t="shared" si="0"/>
        <v>#N/A</v>
      </c>
      <c r="Q15" s="44">
        <f t="shared" si="4"/>
        <v>0</v>
      </c>
      <c r="R15" s="44">
        <f t="shared" si="5"/>
        <v>0</v>
      </c>
      <c r="S15" s="69" t="e">
        <f t="shared" si="7"/>
        <v>#N/A</v>
      </c>
    </row>
    <row r="16" spans="2:19">
      <c r="B16" s="10">
        <v>7</v>
      </c>
      <c r="C16" s="11">
        <v>13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45">
        <v>0</v>
      </c>
      <c r="K16" s="12">
        <v>0</v>
      </c>
      <c r="L16" s="46">
        <f t="shared" si="1"/>
        <v>1</v>
      </c>
      <c r="M16" s="47" t="str">
        <f t="shared" si="2"/>
        <v>Exp</v>
      </c>
      <c r="N16" s="48" t="str">
        <f t="shared" si="3"/>
        <v> </v>
      </c>
      <c r="O16" s="43">
        <f t="shared" si="6"/>
        <v>0</v>
      </c>
      <c r="P16" s="49" t="e">
        <f t="shared" si="0"/>
        <v>#N/A</v>
      </c>
      <c r="Q16" s="44">
        <f t="shared" si="4"/>
        <v>0</v>
      </c>
      <c r="R16" s="44">
        <f t="shared" si="5"/>
        <v>0</v>
      </c>
      <c r="S16" s="69" t="e">
        <f t="shared" si="7"/>
        <v>#N/A</v>
      </c>
    </row>
    <row r="17" spans="2:19">
      <c r="B17" s="10"/>
      <c r="C17" s="11">
        <v>14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45">
        <v>0</v>
      </c>
      <c r="K17" s="12">
        <v>0</v>
      </c>
      <c r="L17" s="46">
        <f t="shared" si="1"/>
        <v>1</v>
      </c>
      <c r="M17" s="47" t="str">
        <f t="shared" si="2"/>
        <v>Exp</v>
      </c>
      <c r="N17" s="48" t="str">
        <f t="shared" si="3"/>
        <v> </v>
      </c>
      <c r="O17" s="43">
        <f t="shared" si="6"/>
        <v>0</v>
      </c>
      <c r="P17" s="49" t="e">
        <f t="shared" si="0"/>
        <v>#N/A</v>
      </c>
      <c r="Q17" s="44">
        <f t="shared" si="4"/>
        <v>0</v>
      </c>
      <c r="R17" s="44">
        <f t="shared" si="5"/>
        <v>0</v>
      </c>
      <c r="S17" s="69" t="e">
        <f t="shared" si="7"/>
        <v>#N/A</v>
      </c>
    </row>
    <row r="18" spans="2:19">
      <c r="B18" s="10">
        <v>8</v>
      </c>
      <c r="C18" s="11">
        <v>15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45">
        <v>0</v>
      </c>
      <c r="K18" s="12">
        <v>0</v>
      </c>
      <c r="L18" s="46">
        <f t="shared" si="1"/>
        <v>1</v>
      </c>
      <c r="M18" s="47" t="str">
        <f t="shared" si="2"/>
        <v>Exp</v>
      </c>
      <c r="N18" s="48" t="str">
        <f t="shared" si="3"/>
        <v> </v>
      </c>
      <c r="O18" s="43">
        <f t="shared" si="6"/>
        <v>0</v>
      </c>
      <c r="P18" s="49" t="e">
        <f t="shared" si="0"/>
        <v>#N/A</v>
      </c>
      <c r="Q18" s="44">
        <f t="shared" si="4"/>
        <v>0</v>
      </c>
      <c r="R18" s="44">
        <f t="shared" si="5"/>
        <v>0</v>
      </c>
      <c r="S18" s="69" t="e">
        <f t="shared" si="7"/>
        <v>#N/A</v>
      </c>
    </row>
    <row r="19" spans="2:19">
      <c r="B19" s="10"/>
      <c r="C19" s="11">
        <v>16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45">
        <v>0</v>
      </c>
      <c r="K19" s="12">
        <v>0</v>
      </c>
      <c r="L19" s="46">
        <f t="shared" si="1"/>
        <v>1</v>
      </c>
      <c r="M19" s="47" t="str">
        <f t="shared" si="2"/>
        <v>Exp</v>
      </c>
      <c r="N19" s="48" t="str">
        <f t="shared" si="3"/>
        <v> </v>
      </c>
      <c r="O19" s="43">
        <f t="shared" si="6"/>
        <v>0</v>
      </c>
      <c r="P19" s="49" t="e">
        <f t="shared" si="0"/>
        <v>#N/A</v>
      </c>
      <c r="Q19" s="44">
        <f t="shared" si="4"/>
        <v>0</v>
      </c>
      <c r="R19" s="44">
        <f t="shared" si="5"/>
        <v>0</v>
      </c>
      <c r="S19" s="69" t="e">
        <f t="shared" si="7"/>
        <v>#N/A</v>
      </c>
    </row>
    <row r="20" spans="2:19">
      <c r="B20" s="10">
        <v>9</v>
      </c>
      <c r="C20" s="11">
        <v>17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45">
        <v>0</v>
      </c>
      <c r="K20" s="12">
        <v>0</v>
      </c>
      <c r="L20" s="46">
        <f t="shared" si="1"/>
        <v>1</v>
      </c>
      <c r="M20" s="47" t="str">
        <f t="shared" si="2"/>
        <v>Exp</v>
      </c>
      <c r="N20" s="48" t="str">
        <f t="shared" si="3"/>
        <v> </v>
      </c>
      <c r="O20" s="43">
        <f t="shared" si="6"/>
        <v>0</v>
      </c>
      <c r="P20" s="49" t="e">
        <f t="shared" si="0"/>
        <v>#N/A</v>
      </c>
      <c r="Q20" s="44">
        <f t="shared" si="4"/>
        <v>0</v>
      </c>
      <c r="R20" s="44">
        <f t="shared" si="5"/>
        <v>0</v>
      </c>
      <c r="S20" s="69" t="e">
        <f t="shared" si="7"/>
        <v>#N/A</v>
      </c>
    </row>
    <row r="21" spans="2:19">
      <c r="B21" s="10"/>
      <c r="C21" s="11">
        <v>18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45">
        <v>0</v>
      </c>
      <c r="K21" s="12">
        <v>0</v>
      </c>
      <c r="L21" s="46">
        <f t="shared" si="1"/>
        <v>1</v>
      </c>
      <c r="M21" s="47" t="str">
        <f t="shared" si="2"/>
        <v>Exp</v>
      </c>
      <c r="N21" s="48" t="str">
        <f t="shared" si="3"/>
        <v> </v>
      </c>
      <c r="O21" s="43">
        <f t="shared" si="6"/>
        <v>0</v>
      </c>
      <c r="P21" s="49" t="e">
        <f t="shared" si="0"/>
        <v>#N/A</v>
      </c>
      <c r="Q21" s="44">
        <f t="shared" si="4"/>
        <v>0</v>
      </c>
      <c r="R21" s="44">
        <f t="shared" si="5"/>
        <v>0</v>
      </c>
      <c r="S21" s="69" t="e">
        <f t="shared" si="7"/>
        <v>#N/A</v>
      </c>
    </row>
    <row r="22" spans="2:19">
      <c r="B22" s="10">
        <v>10</v>
      </c>
      <c r="C22" s="11">
        <v>19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45">
        <v>0</v>
      </c>
      <c r="K22" s="12">
        <v>0</v>
      </c>
      <c r="L22" s="46">
        <f t="shared" si="1"/>
        <v>1</v>
      </c>
      <c r="M22" s="47" t="str">
        <f t="shared" si="2"/>
        <v>Exp</v>
      </c>
      <c r="N22" s="48" t="str">
        <f t="shared" si="3"/>
        <v> </v>
      </c>
      <c r="O22" s="43">
        <f t="shared" si="6"/>
        <v>0</v>
      </c>
      <c r="P22" s="49" t="e">
        <f t="shared" si="0"/>
        <v>#N/A</v>
      </c>
      <c r="Q22" s="44">
        <f t="shared" si="4"/>
        <v>0</v>
      </c>
      <c r="R22" s="44">
        <f t="shared" si="5"/>
        <v>0</v>
      </c>
      <c r="S22" s="69" t="e">
        <f t="shared" si="7"/>
        <v>#N/A</v>
      </c>
    </row>
    <row r="23" spans="2:19">
      <c r="B23" s="10"/>
      <c r="C23" s="11">
        <v>20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45">
        <v>0</v>
      </c>
      <c r="K23" s="12">
        <v>0</v>
      </c>
      <c r="L23" s="46">
        <f t="shared" si="1"/>
        <v>1</v>
      </c>
      <c r="M23" s="47" t="str">
        <f t="shared" si="2"/>
        <v>Exp</v>
      </c>
      <c r="N23" s="48" t="str">
        <f t="shared" si="3"/>
        <v> </v>
      </c>
      <c r="O23" s="43">
        <f t="shared" si="6"/>
        <v>0</v>
      </c>
      <c r="P23" s="49" t="e">
        <f t="shared" si="0"/>
        <v>#N/A</v>
      </c>
      <c r="Q23" s="44">
        <f t="shared" si="4"/>
        <v>0</v>
      </c>
      <c r="R23" s="44">
        <f t="shared" si="5"/>
        <v>0</v>
      </c>
      <c r="S23" s="69" t="e">
        <f t="shared" si="7"/>
        <v>#N/A</v>
      </c>
    </row>
    <row r="24" spans="2:19">
      <c r="B24" s="10">
        <v>11</v>
      </c>
      <c r="C24" s="11">
        <v>21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45">
        <v>0</v>
      </c>
      <c r="K24" s="12">
        <v>0</v>
      </c>
      <c r="L24" s="46">
        <f t="shared" si="1"/>
        <v>1</v>
      </c>
      <c r="M24" s="47" t="str">
        <f t="shared" si="2"/>
        <v>Exp</v>
      </c>
      <c r="N24" s="48" t="str">
        <f t="shared" si="3"/>
        <v> </v>
      </c>
      <c r="O24" s="43">
        <f t="shared" si="6"/>
        <v>0</v>
      </c>
      <c r="P24" s="49" t="e">
        <f t="shared" si="0"/>
        <v>#N/A</v>
      </c>
      <c r="Q24" s="44">
        <f t="shared" si="4"/>
        <v>0</v>
      </c>
      <c r="R24" s="44">
        <f t="shared" si="5"/>
        <v>0</v>
      </c>
      <c r="S24" s="69" t="e">
        <f t="shared" si="7"/>
        <v>#N/A</v>
      </c>
    </row>
    <row r="25" spans="2:19">
      <c r="B25" s="10"/>
      <c r="C25" s="11">
        <v>22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45">
        <v>0</v>
      </c>
      <c r="K25" s="12">
        <v>0</v>
      </c>
      <c r="L25" s="46">
        <f t="shared" si="1"/>
        <v>1</v>
      </c>
      <c r="M25" s="47" t="str">
        <f t="shared" si="2"/>
        <v>Exp</v>
      </c>
      <c r="N25" s="48" t="str">
        <f t="shared" si="3"/>
        <v> </v>
      </c>
      <c r="O25" s="43">
        <f t="shared" si="6"/>
        <v>0</v>
      </c>
      <c r="P25" s="49" t="e">
        <f t="shared" si="0"/>
        <v>#N/A</v>
      </c>
      <c r="Q25" s="44">
        <f t="shared" si="4"/>
        <v>0</v>
      </c>
      <c r="R25" s="44">
        <f t="shared" si="5"/>
        <v>0</v>
      </c>
      <c r="S25" s="69" t="e">
        <f t="shared" si="7"/>
        <v>#N/A</v>
      </c>
    </row>
    <row r="26" spans="2:19">
      <c r="B26" s="10">
        <v>12</v>
      </c>
      <c r="C26" s="11">
        <v>23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45">
        <v>0</v>
      </c>
      <c r="K26" s="12">
        <v>0</v>
      </c>
      <c r="L26" s="46">
        <f t="shared" si="1"/>
        <v>1</v>
      </c>
      <c r="M26" s="47" t="str">
        <f t="shared" si="2"/>
        <v>Exp</v>
      </c>
      <c r="N26" s="48" t="str">
        <f t="shared" si="3"/>
        <v> </v>
      </c>
      <c r="O26" s="43">
        <f t="shared" si="6"/>
        <v>0</v>
      </c>
      <c r="P26" s="49" t="e">
        <f t="shared" si="0"/>
        <v>#N/A</v>
      </c>
      <c r="Q26" s="44">
        <f t="shared" si="4"/>
        <v>0</v>
      </c>
      <c r="R26" s="44">
        <f t="shared" si="5"/>
        <v>0</v>
      </c>
      <c r="S26" s="69" t="e">
        <f t="shared" si="7"/>
        <v>#N/A</v>
      </c>
    </row>
    <row r="27" spans="2:19">
      <c r="B27" s="10"/>
      <c r="C27" s="11">
        <v>24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45">
        <v>0</v>
      </c>
      <c r="K27" s="12">
        <v>0</v>
      </c>
      <c r="L27" s="46">
        <f t="shared" si="1"/>
        <v>1</v>
      </c>
      <c r="M27" s="47" t="str">
        <f t="shared" si="2"/>
        <v>Exp</v>
      </c>
      <c r="N27" s="48" t="str">
        <f t="shared" si="3"/>
        <v> </v>
      </c>
      <c r="O27" s="43">
        <f t="shared" si="6"/>
        <v>0</v>
      </c>
      <c r="P27" s="49" t="e">
        <f t="shared" si="0"/>
        <v>#N/A</v>
      </c>
      <c r="Q27" s="44">
        <f t="shared" si="4"/>
        <v>0</v>
      </c>
      <c r="R27" s="44">
        <f t="shared" si="5"/>
        <v>0</v>
      </c>
      <c r="S27" s="69" t="e">
        <f t="shared" si="7"/>
        <v>#N/A</v>
      </c>
    </row>
    <row r="28" spans="2:19">
      <c r="B28" s="10">
        <v>13</v>
      </c>
      <c r="C28" s="11">
        <v>25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45">
        <v>0</v>
      </c>
      <c r="K28" s="12">
        <v>0</v>
      </c>
      <c r="L28" s="46">
        <f t="shared" si="1"/>
        <v>1</v>
      </c>
      <c r="M28" s="47" t="str">
        <f t="shared" si="2"/>
        <v>Exp</v>
      </c>
      <c r="N28" s="48" t="str">
        <f t="shared" si="3"/>
        <v> </v>
      </c>
      <c r="O28" s="43">
        <f t="shared" si="6"/>
        <v>0</v>
      </c>
      <c r="P28" s="49" t="e">
        <f t="shared" si="0"/>
        <v>#N/A</v>
      </c>
      <c r="Q28" s="44">
        <f t="shared" si="4"/>
        <v>0</v>
      </c>
      <c r="R28" s="44">
        <f t="shared" si="5"/>
        <v>0</v>
      </c>
      <c r="S28" s="69" t="e">
        <f t="shared" si="7"/>
        <v>#N/A</v>
      </c>
    </row>
    <row r="29" spans="2:19">
      <c r="B29" s="10"/>
      <c r="C29" s="11">
        <v>26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45">
        <v>0</v>
      </c>
      <c r="K29" s="12">
        <v>0</v>
      </c>
      <c r="L29" s="46">
        <f t="shared" si="1"/>
        <v>1</v>
      </c>
      <c r="M29" s="47" t="str">
        <f t="shared" si="2"/>
        <v>Exp</v>
      </c>
      <c r="N29" s="48" t="str">
        <f t="shared" si="3"/>
        <v> </v>
      </c>
      <c r="O29" s="43">
        <f t="shared" si="6"/>
        <v>0</v>
      </c>
      <c r="P29" s="49" t="e">
        <f t="shared" si="0"/>
        <v>#N/A</v>
      </c>
      <c r="Q29" s="44">
        <f t="shared" si="4"/>
        <v>0</v>
      </c>
      <c r="R29" s="44">
        <f t="shared" si="5"/>
        <v>0</v>
      </c>
      <c r="S29" s="69" t="e">
        <f t="shared" si="7"/>
        <v>#N/A</v>
      </c>
    </row>
    <row r="30" spans="2:19">
      <c r="B30" s="10">
        <v>14</v>
      </c>
      <c r="C30" s="11">
        <v>27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45">
        <v>0</v>
      </c>
      <c r="K30" s="12">
        <v>0</v>
      </c>
      <c r="L30" s="46">
        <f t="shared" si="1"/>
        <v>1</v>
      </c>
      <c r="M30" s="47" t="str">
        <f t="shared" si="2"/>
        <v>Exp</v>
      </c>
      <c r="N30" s="48" t="str">
        <f t="shared" si="3"/>
        <v> </v>
      </c>
      <c r="O30" s="43">
        <f t="shared" si="6"/>
        <v>0</v>
      </c>
      <c r="P30" s="49" t="e">
        <f t="shared" si="0"/>
        <v>#N/A</v>
      </c>
      <c r="Q30" s="44">
        <f t="shared" si="4"/>
        <v>0</v>
      </c>
      <c r="R30" s="44">
        <f t="shared" si="5"/>
        <v>0</v>
      </c>
      <c r="S30" s="69" t="e">
        <f t="shared" si="7"/>
        <v>#N/A</v>
      </c>
    </row>
    <row r="31" spans="2:19">
      <c r="B31" s="10"/>
      <c r="C31" s="11">
        <v>28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45">
        <v>0</v>
      </c>
      <c r="K31" s="12">
        <v>0</v>
      </c>
      <c r="L31" s="46">
        <f t="shared" si="1"/>
        <v>1</v>
      </c>
      <c r="M31" s="47" t="str">
        <f t="shared" si="2"/>
        <v>Exp</v>
      </c>
      <c r="N31" s="48" t="str">
        <f t="shared" si="3"/>
        <v> </v>
      </c>
      <c r="O31" s="43">
        <f t="shared" si="6"/>
        <v>0</v>
      </c>
      <c r="P31" s="49" t="e">
        <f t="shared" si="0"/>
        <v>#N/A</v>
      </c>
      <c r="Q31" s="44">
        <f t="shared" si="4"/>
        <v>0</v>
      </c>
      <c r="R31" s="44">
        <f t="shared" si="5"/>
        <v>0</v>
      </c>
      <c r="S31" s="69" t="e">
        <f t="shared" si="7"/>
        <v>#N/A</v>
      </c>
    </row>
    <row r="32" spans="2:19">
      <c r="B32" s="10">
        <v>15</v>
      </c>
      <c r="C32" s="11">
        <v>29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45">
        <v>0</v>
      </c>
      <c r="K32" s="12">
        <v>0</v>
      </c>
      <c r="L32" s="46">
        <f t="shared" ref="L32" si="8">1+(IF(D32&gt;0,0.89,0))+(IF(E32&gt;0,0.62,0))+(IF(F32&gt;0,0.435,0))+(IF(G32&gt;0,0.325,0))+(IF(H32&gt;0,0.1,0))+(IF(I32&gt;0,0.1,0))</f>
        <v>1</v>
      </c>
      <c r="M32" s="47" t="str">
        <f t="shared" ref="M32" si="9">IF(N32&gt;30,"Exp",IF(N32&gt;25,"Mod",IF(N32&gt;0,"Easy")))</f>
        <v>Exp</v>
      </c>
      <c r="N32" s="48" t="str">
        <f t="shared" ref="N32" si="10">IF(J32=0," ",IF(K32&lt;=15,0.05*POWER(((K32*1.0936)*(1/(J32*0.03937))*L32)-((15*1.0936)*(1/(J32*0.03937))*L32),2)+((15*1.0936)*0.1*(1/(J32*0.03937))*L32)+((22*1.0936)*(1/(J32*0.03937))*L32)-((22*1.0936)*0.1*(1/(J32*0.03937))*L32),IF(K32&lt;=22,((15*1.0936)*0.1*(1/(J32*0.03937))*L32)+((22*1.0936)*(1/(J32*0.03937))*L32)-((22*1.0936)*0.1*(1/(J32*0.03937))*L32),((K32*1.0936)*(1/(J32*0.03937))*L32))))</f>
        <v> </v>
      </c>
      <c r="O32" s="43">
        <f t="shared" si="6"/>
        <v>0</v>
      </c>
      <c r="P32" s="49" t="e">
        <f t="shared" si="0"/>
        <v>#N/A</v>
      </c>
      <c r="Q32" s="44">
        <f t="shared" si="4"/>
        <v>0</v>
      </c>
      <c r="R32" s="44">
        <f t="shared" si="5"/>
        <v>0</v>
      </c>
      <c r="S32" s="69" t="e">
        <f t="shared" si="7"/>
        <v>#N/A</v>
      </c>
    </row>
    <row r="33" ht="21" spans="2:19">
      <c r="B33" s="14"/>
      <c r="C33" s="15">
        <v>30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50">
        <v>0</v>
      </c>
      <c r="K33" s="16">
        <v>0</v>
      </c>
      <c r="L33" s="51">
        <f t="shared" ref="L33" si="11">1+(IF(D33&gt;0,0.89,0))+(IF(E33&gt;0,0.62,0))+(IF(F33&gt;0,0.435,0))+(IF(G33&gt;0,0.325,0))+(IF(H33&gt;0,0.1,0))+(IF(I33&gt;0,0.1,0))</f>
        <v>1</v>
      </c>
      <c r="M33" s="52" t="str">
        <f t="shared" ref="M33" si="12">IF(N33&gt;30,"Exp",IF(N33&gt;25,"Mod",IF(N33&gt;0,"Easy")))</f>
        <v>Exp</v>
      </c>
      <c r="N33" s="53" t="str">
        <f t="shared" ref="N33" si="13">IF(J33=0," ",IF(K33&lt;=15,0.05*POWER(((K33*1.0936)*(1/(J33*0.03937))*L33)-((15*1.0936)*(1/(J33*0.03937))*L33),2)+((15*1.0936)*0.1*(1/(J33*0.03937))*L33)+((22*1.0936)*(1/(J33*0.03937))*L33)-((22*1.0936)*0.1*(1/(J33*0.03937))*L33),IF(K33&lt;=22,((15*1.0936)*0.1*(1/(J33*0.03937))*L33)+((22*1.0936)*(1/(J33*0.03937))*L33)-((22*1.0936)*0.1*(1/(J33*0.03937))*L33),((K33*1.0936)*(1/(J33*0.03937))*L33))))</f>
        <v> </v>
      </c>
      <c r="O33" s="54">
        <f t="shared" si="6"/>
        <v>0</v>
      </c>
      <c r="P33" s="55" t="e">
        <f t="shared" si="0"/>
        <v>#N/A</v>
      </c>
      <c r="Q33" s="55">
        <f t="shared" si="4"/>
        <v>0</v>
      </c>
      <c r="R33" s="70">
        <f t="shared" si="5"/>
        <v>0</v>
      </c>
      <c r="S33" s="71" t="e">
        <f t="shared" si="7"/>
        <v>#N/A</v>
      </c>
    </row>
    <row r="34" ht="21.75" spans="2:19">
      <c r="B34" s="17"/>
      <c r="C34" s="18"/>
      <c r="D34" s="17" t="s">
        <v>19</v>
      </c>
      <c r="E34" s="17" t="s">
        <v>20</v>
      </c>
      <c r="F34" s="17"/>
      <c r="G34" s="17"/>
      <c r="H34" s="17"/>
      <c r="I34" s="17"/>
      <c r="J34" s="56"/>
      <c r="K34" s="17"/>
      <c r="L34" s="57"/>
      <c r="M34" s="58"/>
      <c r="N34" s="58"/>
      <c r="O34" s="58"/>
      <c r="P34" s="59"/>
      <c r="Q34" s="59"/>
      <c r="R34" s="59"/>
      <c r="S34" s="26"/>
    </row>
    <row r="35" ht="21.75" spans="2:19">
      <c r="B35" s="17"/>
      <c r="C35" s="18"/>
      <c r="D35" s="19">
        <f>SUM(D4:D33)+SUM(F4:F33)</f>
        <v>0</v>
      </c>
      <c r="E35" s="19">
        <f>SUM(E4:E33)+SUM(G4:G33)</f>
        <v>0</v>
      </c>
      <c r="F35" s="17"/>
      <c r="G35" s="17"/>
      <c r="H35" s="17"/>
      <c r="I35" s="17"/>
      <c r="J35" s="56"/>
      <c r="K35" s="17"/>
      <c r="L35" s="57"/>
      <c r="M35" s="58"/>
      <c r="N35" s="58"/>
      <c r="O35" s="58"/>
      <c r="P35" s="59"/>
      <c r="Q35" s="59"/>
      <c r="R35" s="59"/>
      <c r="S35" s="26"/>
    </row>
    <row r="36" ht="21.75" spans="2:19">
      <c r="B36" s="17"/>
      <c r="C36" s="18"/>
      <c r="D36" s="20" t="str">
        <f>IF(D35+F35=3,"OK","Error")</f>
        <v>Error</v>
      </c>
      <c r="E36" s="21" t="str">
        <f>IF(E35=3,"OK","Error")</f>
        <v>Error</v>
      </c>
      <c r="F36" s="17"/>
      <c r="G36" s="17"/>
      <c r="H36" s="17"/>
      <c r="I36" s="17"/>
      <c r="J36" s="56"/>
      <c r="K36" s="17"/>
      <c r="L36" s="57"/>
      <c r="M36" s="58"/>
      <c r="N36" s="58"/>
      <c r="O36" s="58"/>
      <c r="P36" s="59"/>
      <c r="Q36" s="59"/>
      <c r="R36" s="59"/>
      <c r="S36" s="26"/>
    </row>
    <row r="37" ht="21.75" spans="2:19">
      <c r="B37" s="17"/>
      <c r="C37" s="18"/>
      <c r="D37" s="22" t="s">
        <v>21</v>
      </c>
      <c r="E37" s="23">
        <f>SUM((COUNTIF(J4:J33,"&lt;=40")-(E38+E39+E40+E41)))</f>
        <v>0</v>
      </c>
      <c r="F37" s="17"/>
      <c r="G37" s="17"/>
      <c r="H37" s="17"/>
      <c r="I37" s="17"/>
      <c r="J37" s="56"/>
      <c r="K37" s="17"/>
      <c r="L37" s="57"/>
      <c r="M37" s="58"/>
      <c r="N37" s="58"/>
      <c r="O37" s="58"/>
      <c r="P37" s="59"/>
      <c r="Q37" s="59"/>
      <c r="R37" s="59"/>
      <c r="S37" s="26"/>
    </row>
    <row r="38" ht="21.75" spans="2:19">
      <c r="B38" s="17"/>
      <c r="C38" s="18"/>
      <c r="D38" s="22" t="s">
        <v>22</v>
      </c>
      <c r="E38" s="23">
        <f>SUM((COUNTIF(J4:J33,"&lt;=34")-(E39+E40+E41)))</f>
        <v>0</v>
      </c>
      <c r="F38" s="17"/>
      <c r="G38" s="17"/>
      <c r="H38" s="17"/>
      <c r="I38" s="17"/>
      <c r="J38" s="56"/>
      <c r="K38" s="17"/>
      <c r="L38" s="57"/>
      <c r="M38" s="58"/>
      <c r="N38" s="58"/>
      <c r="O38" s="58"/>
      <c r="P38" s="59"/>
      <c r="Q38" s="59"/>
      <c r="R38" s="59"/>
      <c r="S38" s="26"/>
    </row>
    <row r="39" ht="21.75" spans="2:19">
      <c r="B39" s="17"/>
      <c r="C39" s="18"/>
      <c r="D39" s="22" t="s">
        <v>23</v>
      </c>
      <c r="E39" s="23">
        <f>SUM((COUNTIF(J4:J33,"&lt;=29")-(E40+E41)))</f>
        <v>0</v>
      </c>
      <c r="F39" s="17"/>
      <c r="G39" s="17"/>
      <c r="H39" s="17"/>
      <c r="I39" s="17"/>
      <c r="J39" s="56"/>
      <c r="K39" s="17"/>
      <c r="L39" s="57"/>
      <c r="M39" s="58"/>
      <c r="N39" s="58"/>
      <c r="O39" s="58"/>
      <c r="P39" s="59"/>
      <c r="Q39" s="59"/>
      <c r="R39" s="59"/>
      <c r="S39" s="26"/>
    </row>
    <row r="40" ht="21.75" spans="2:19">
      <c r="B40" s="17"/>
      <c r="C40" s="18"/>
      <c r="D40" s="22" t="s">
        <v>24</v>
      </c>
      <c r="E40" s="23">
        <f>SUM((COUNTIF(J4:J33,"&lt;=24")-E41))</f>
        <v>0</v>
      </c>
      <c r="F40" s="17"/>
      <c r="G40" s="17"/>
      <c r="H40" s="17"/>
      <c r="I40" s="17"/>
      <c r="J40" s="56"/>
      <c r="K40" s="17"/>
      <c r="L40" s="57"/>
      <c r="M40" s="58"/>
      <c r="N40" s="58"/>
      <c r="O40" s="58"/>
      <c r="P40" s="59"/>
      <c r="Q40" s="59"/>
      <c r="R40" s="59"/>
      <c r="S40" s="26"/>
    </row>
    <row r="41" ht="21.75" spans="2:19">
      <c r="B41" s="17"/>
      <c r="C41" s="18"/>
      <c r="D41" s="22" t="s">
        <v>25</v>
      </c>
      <c r="E41" s="23">
        <f>(COUNTIF(J4:J33,"&lt;=19"))</f>
        <v>30</v>
      </c>
      <c r="F41" s="17"/>
      <c r="G41" s="17"/>
      <c r="H41" s="17"/>
      <c r="I41" s="17"/>
      <c r="J41" s="56"/>
      <c r="K41" s="17"/>
      <c r="L41" s="57"/>
      <c r="M41" s="58"/>
      <c r="N41" s="58"/>
      <c r="O41" s="58"/>
      <c r="P41" s="59"/>
      <c r="Q41" s="59"/>
      <c r="R41" s="59"/>
      <c r="S41" s="26"/>
    </row>
    <row r="42" ht="21" spans="2:19">
      <c r="B42" s="17"/>
      <c r="C42" s="18"/>
      <c r="D42" s="1" t="s">
        <v>26</v>
      </c>
      <c r="E42" s="24">
        <f>SUM(E37:E41)</f>
        <v>30</v>
      </c>
      <c r="F42" s="17"/>
      <c r="G42" s="17"/>
      <c r="H42" s="17"/>
      <c r="I42" s="17"/>
      <c r="J42" s="56"/>
      <c r="K42" s="17"/>
      <c r="L42" s="57"/>
      <c r="M42" s="58"/>
      <c r="N42" s="58"/>
      <c r="O42" s="58"/>
      <c r="P42" s="59"/>
      <c r="Q42" s="59"/>
      <c r="R42" s="59"/>
      <c r="S42" s="26"/>
    </row>
    <row r="43" ht="21" spans="2:19">
      <c r="B43" s="17"/>
      <c r="C43" s="18"/>
      <c r="D43" s="25"/>
      <c r="E43" s="25"/>
      <c r="F43" s="25"/>
      <c r="G43" s="25"/>
      <c r="H43" s="2"/>
      <c r="I43" s="2"/>
      <c r="L43" s="24"/>
      <c r="M43" s="60"/>
      <c r="N43" s="24"/>
      <c r="O43" s="24"/>
      <c r="P43" s="59"/>
      <c r="Q43" s="59"/>
      <c r="R43" s="59"/>
      <c r="S43" s="59"/>
    </row>
    <row r="44" ht="21.75" spans="2:19">
      <c r="B44" s="17"/>
      <c r="D44" s="1" t="s">
        <v>27</v>
      </c>
      <c r="G44" s="26"/>
      <c r="H44" s="2"/>
      <c r="I44" s="2"/>
      <c r="L44" s="61" t="s">
        <v>28</v>
      </c>
      <c r="M44" s="62">
        <f>COUNTIF(M4:M33,"Exp")</f>
        <v>30</v>
      </c>
      <c r="N44" s="24"/>
      <c r="O44" s="24"/>
      <c r="P44" s="59"/>
      <c r="Q44" s="59"/>
      <c r="R44" s="59"/>
      <c r="S44" s="59"/>
    </row>
    <row r="45" ht="21.75" spans="4:19">
      <c r="D45" s="27" t="s">
        <v>29</v>
      </c>
      <c r="E45" s="27">
        <f>COUNTIFS(J4:J33,"&gt;=25",J4:J33,"&lt;=34")</f>
        <v>0</v>
      </c>
      <c r="F45" s="28" t="str">
        <f>IF(E45&gt;=6,"OK","Error")</f>
        <v>Error</v>
      </c>
      <c r="G45" s="2"/>
      <c r="H45" s="2"/>
      <c r="I45" s="2"/>
      <c r="L45" s="61" t="s">
        <v>30</v>
      </c>
      <c r="M45" s="62">
        <f>COUNTIF(M4:M33,"Mod")</f>
        <v>0</v>
      </c>
      <c r="N45" s="24"/>
      <c r="O45" s="24"/>
      <c r="P45" s="59"/>
      <c r="Q45" s="59"/>
      <c r="R45" s="59"/>
      <c r="S45" s="59"/>
    </row>
    <row r="46" ht="21.75" spans="4:19">
      <c r="D46" s="27" t="s">
        <v>31</v>
      </c>
      <c r="E46" s="27">
        <f>COUNTIFS(J4:J33,"&gt;=15",J4:J33,"&lt;=19")</f>
        <v>0</v>
      </c>
      <c r="F46" s="29" t="str">
        <f>IF(E46&gt;=4,"OK","Error")</f>
        <v>Error</v>
      </c>
      <c r="G46" s="17"/>
      <c r="H46" s="17"/>
      <c r="I46" s="17"/>
      <c r="L46" s="61" t="s">
        <v>32</v>
      </c>
      <c r="M46" s="62">
        <f>COUNTIF(M4:M33,"Easy")</f>
        <v>0</v>
      </c>
      <c r="N46" s="24"/>
      <c r="O46" s="24"/>
      <c r="P46" s="59"/>
      <c r="Q46" s="59"/>
      <c r="R46" s="59"/>
      <c r="S46" s="59"/>
    </row>
    <row r="47" ht="21" spans="12:19">
      <c r="L47" s="24"/>
      <c r="M47" s="24"/>
      <c r="N47" s="24"/>
      <c r="O47" s="24"/>
      <c r="P47" s="59"/>
      <c r="Q47" s="59"/>
      <c r="R47" s="59"/>
      <c r="S47" s="59"/>
    </row>
    <row r="48" spans="12:19">
      <c r="L48" s="60" t="s">
        <v>33</v>
      </c>
      <c r="M48" s="58">
        <f>SUM(K4:K33)/COUNT(K4:K33)</f>
        <v>0</v>
      </c>
      <c r="N48" s="24"/>
      <c r="O48" s="24"/>
      <c r="P48" s="59"/>
      <c r="Q48" s="59"/>
      <c r="R48" s="59"/>
      <c r="S48" s="59"/>
    </row>
    <row r="49" spans="12:19">
      <c r="L49" s="60" t="s">
        <v>13</v>
      </c>
      <c r="M49" s="58" t="e">
        <f>SUM(N4:N33)/COUNT(N4:N33)</f>
        <v>#DIV/0!</v>
      </c>
      <c r="N49" s="24"/>
      <c r="O49" s="24"/>
      <c r="P49" s="59"/>
      <c r="Q49" s="59"/>
      <c r="R49" s="59"/>
      <c r="S49" s="59"/>
    </row>
    <row r="50" spans="2:3">
      <c r="B50" s="30" t="s">
        <v>34</v>
      </c>
      <c r="C50" s="31"/>
    </row>
    <row r="51" spans="2:13">
      <c r="B51" s="31"/>
      <c r="G51" s="32" t="s">
        <v>35</v>
      </c>
      <c r="H51" s="31"/>
      <c r="I51" s="31"/>
      <c r="M51" s="63" t="s">
        <v>36</v>
      </c>
    </row>
    <row r="52" spans="2:13">
      <c r="B52" s="31"/>
      <c r="G52" s="32" t="s">
        <v>37</v>
      </c>
      <c r="H52" s="31"/>
      <c r="I52" s="31"/>
      <c r="M52" s="64" t="s">
        <v>38</v>
      </c>
    </row>
    <row r="53" spans="2:13">
      <c r="B53" s="31"/>
      <c r="G53" s="32" t="s">
        <v>39</v>
      </c>
      <c r="H53" s="31"/>
      <c r="I53" s="31"/>
      <c r="M53" s="64" t="s">
        <v>40</v>
      </c>
    </row>
    <row r="54" spans="2:13">
      <c r="B54" s="31"/>
      <c r="G54" s="32" t="s">
        <v>41</v>
      </c>
      <c r="H54" s="31"/>
      <c r="I54" s="31"/>
      <c r="M54" s="64" t="s">
        <v>42</v>
      </c>
    </row>
    <row r="55" spans="2:13">
      <c r="B55" s="31"/>
      <c r="F55" s="31"/>
      <c r="M55" s="64" t="s">
        <v>43</v>
      </c>
    </row>
    <row r="56" spans="2:6">
      <c r="B56" s="31"/>
      <c r="F56" s="33"/>
    </row>
    <row r="57" spans="19:19">
      <c r="S57" s="72"/>
    </row>
    <row r="58" spans="19:19">
      <c r="S58" s="72"/>
    </row>
    <row r="59" spans="2:19">
      <c r="B59" s="1" t="s">
        <v>44</v>
      </c>
      <c r="S59" s="72"/>
    </row>
    <row r="60" spans="2:19">
      <c r="B60" s="34" t="s">
        <v>45</v>
      </c>
      <c r="C60" s="34" t="s">
        <v>46</v>
      </c>
      <c r="D60" s="35" t="s">
        <v>47</v>
      </c>
      <c r="E60" s="35" t="s">
        <v>48</v>
      </c>
      <c r="S60" s="72"/>
    </row>
    <row r="61" spans="2:19">
      <c r="B61" s="34">
        <v>15</v>
      </c>
      <c r="C61" s="34">
        <v>19</v>
      </c>
      <c r="D61" s="34">
        <v>12</v>
      </c>
      <c r="E61" s="34">
        <v>23</v>
      </c>
      <c r="S61" s="72"/>
    </row>
    <row r="62" spans="2:19">
      <c r="B62" s="34">
        <v>20</v>
      </c>
      <c r="C62" s="34">
        <v>24</v>
      </c>
      <c r="D62" s="34">
        <v>7</v>
      </c>
      <c r="E62" s="34">
        <v>28</v>
      </c>
      <c r="S62" s="72"/>
    </row>
    <row r="63" spans="2:5">
      <c r="B63" s="34">
        <v>25</v>
      </c>
      <c r="C63" s="34">
        <v>34</v>
      </c>
      <c r="D63" s="34">
        <v>7</v>
      </c>
      <c r="E63" s="34">
        <v>37</v>
      </c>
    </row>
    <row r="64" spans="2:5">
      <c r="B64" s="34">
        <v>35</v>
      </c>
      <c r="C64" s="34">
        <v>40</v>
      </c>
      <c r="D64" s="34">
        <v>7</v>
      </c>
      <c r="E64" s="34">
        <v>42</v>
      </c>
    </row>
    <row r="66" spans="2:2">
      <c r="B66" s="1" t="s">
        <v>49</v>
      </c>
    </row>
    <row r="67" spans="2:5">
      <c r="B67" s="34">
        <v>35</v>
      </c>
      <c r="C67" s="34">
        <v>40</v>
      </c>
      <c r="D67" s="34">
        <v>7</v>
      </c>
      <c r="E67" s="34">
        <v>32</v>
      </c>
    </row>
    <row r="69" spans="2:2">
      <c r="B69" s="1" t="s">
        <v>50</v>
      </c>
    </row>
    <row r="70" spans="2:5">
      <c r="B70" s="34"/>
      <c r="C70" s="34"/>
      <c r="D70" s="34"/>
      <c r="E70" s="34"/>
    </row>
    <row r="71" spans="2:5">
      <c r="B71" s="34">
        <v>35</v>
      </c>
      <c r="C71" s="34">
        <v>40</v>
      </c>
      <c r="D71" s="34">
        <v>7</v>
      </c>
      <c r="E71" s="34">
        <v>32</v>
      </c>
    </row>
  </sheetData>
  <conditionalFormatting sqref="D36:E36">
    <cfRule type="cellIs" dxfId="0" priority="3" stopIfTrue="1" operator="equal">
      <formula>"OK"</formula>
    </cfRule>
    <cfRule type="cellIs" dxfId="1" priority="4" stopIfTrue="1" operator="equal">
      <formula>"Error"</formula>
    </cfRule>
  </conditionalFormatting>
  <conditionalFormatting sqref="F45:F46">
    <cfRule type="cellIs" dxfId="2" priority="7" operator="equal">
      <formula>"OK"</formula>
    </cfRule>
    <cfRule type="cellIs" dxfId="3" priority="8" operator="equal">
      <formula>"Error"</formula>
    </cfRule>
  </conditionalFormatting>
  <conditionalFormatting sqref="S4:S33">
    <cfRule type="cellIs" dxfId="2" priority="1" operator="equal">
      <formula>"OK"</formula>
    </cfRule>
    <cfRule type="cellIs" dxfId="3" priority="2" operator="equal">
      <formula>"Error"</formula>
    </cfRule>
  </conditionalFormatting>
  <conditionalFormatting sqref="S34:S42 D44:G44">
    <cfRule type="cellIs" dxfId="2" priority="9" operator="equal">
      <formula>"OK"</formula>
    </cfRule>
    <cfRule type="cellIs" dxfId="3" priority="10" operator="equal">
      <formula>"Error"</formula>
    </cfRule>
  </conditionalFormatting>
  <printOptions horizontalCentered="1" verticalCentered="1"/>
  <pageMargins left="0.15748031496063" right="0.354330708661417" top="0.196850393700787" bottom="0.196850393700787" header="0.118110236220472" footer="0.118110236220472"/>
  <pageSetup paperSize="9" scale="48" firstPageNumber="0" orientation="portrait" useFirstPageNumber="1" horizontalDpi="300" verticalDpi="300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Info</vt:lpstr>
      <vt:lpstr>Troyer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Strydom Gerhard</dc:creator>
  <cp:lastModifiedBy>Annette Janeke</cp:lastModifiedBy>
  <dcterms:created xsi:type="dcterms:W3CDTF">2012-09-18T06:54:00Z</dcterms:created>
  <cp:lastPrinted>2016-04-22T10:47:00Z</cp:lastPrinted>
  <dcterms:modified xsi:type="dcterms:W3CDTF">2026-04-14T15:43:51Z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36F24D95E0B945EEBCB7F54A45707BC7_12</vt:lpwstr>
  </property>
  <property fmtid="{D5CDD505-2E9C-101B-9397-08002B2CF9AE}" pid="3" name="KSOProductBuildVer">
    <vt:lpwstr>1033-12.2.0.23196</vt:lpwstr>
  </property>
</Properties>
</file>